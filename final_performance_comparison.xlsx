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ilia\Documents\Bachelorarbeit\final_code\BeyondTheBlackBox_Kilian_Schicho\"/>
    </mc:Choice>
  </mc:AlternateContent>
  <xr:revisionPtr revIDLastSave="0" documentId="13_ncr:1_{C7BBF17F-145D-4E99-9D10-391C34A6C7D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erformance 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" l="1"/>
  <c r="P37" i="1"/>
  <c r="M37" i="1"/>
  <c r="J37" i="1"/>
  <c r="G37" i="1"/>
  <c r="D37" i="1"/>
  <c r="S47" i="1"/>
  <c r="P47" i="1"/>
  <c r="M47" i="1"/>
  <c r="J47" i="1"/>
  <c r="G47" i="1"/>
  <c r="D47" i="1"/>
  <c r="S53" i="1"/>
  <c r="P53" i="1"/>
  <c r="M53" i="1"/>
  <c r="J53" i="1"/>
  <c r="G53" i="1"/>
  <c r="D53" i="1"/>
  <c r="S44" i="1"/>
  <c r="P44" i="1"/>
  <c r="M44" i="1"/>
  <c r="J44" i="1"/>
  <c r="G44" i="1"/>
  <c r="D44" i="1"/>
  <c r="S41" i="1"/>
  <c r="P41" i="1"/>
  <c r="M41" i="1"/>
  <c r="J41" i="1"/>
  <c r="G41" i="1"/>
  <c r="D41" i="1"/>
  <c r="S50" i="1"/>
  <c r="P50" i="1"/>
  <c r="M50" i="1"/>
  <c r="J50" i="1"/>
  <c r="G50" i="1"/>
  <c r="D50" i="1"/>
  <c r="S28" i="1"/>
  <c r="P28" i="1"/>
  <c r="M28" i="1"/>
  <c r="J28" i="1"/>
  <c r="G28" i="1"/>
  <c r="D28" i="1"/>
  <c r="S25" i="1"/>
  <c r="P25" i="1"/>
  <c r="M25" i="1"/>
  <c r="J25" i="1"/>
  <c r="G25" i="1"/>
  <c r="D25" i="1"/>
  <c r="S34" i="1"/>
  <c r="P34" i="1"/>
  <c r="M34" i="1"/>
  <c r="J34" i="1"/>
  <c r="G34" i="1"/>
  <c r="D34" i="1"/>
  <c r="S21" i="1"/>
  <c r="P21" i="1"/>
  <c r="M21" i="1"/>
  <c r="J21" i="1"/>
  <c r="G21" i="1"/>
  <c r="D21" i="1"/>
  <c r="S18" i="1"/>
  <c r="P18" i="1"/>
  <c r="M18" i="1"/>
  <c r="J18" i="1"/>
  <c r="G18" i="1"/>
  <c r="D18" i="1"/>
  <c r="S15" i="1"/>
  <c r="P15" i="1"/>
  <c r="M15" i="1"/>
  <c r="J15" i="1"/>
  <c r="G15" i="1"/>
  <c r="D15" i="1"/>
  <c r="S12" i="1"/>
  <c r="P12" i="1"/>
  <c r="M12" i="1"/>
  <c r="J12" i="1"/>
  <c r="G12" i="1"/>
  <c r="D12" i="1"/>
  <c r="D9" i="1"/>
  <c r="G9" i="1"/>
  <c r="J9" i="1"/>
  <c r="M9" i="1"/>
  <c r="P9" i="1"/>
  <c r="S9" i="1"/>
</calcChain>
</file>

<file path=xl/sharedStrings.xml><?xml version="1.0" encoding="utf-8"?>
<sst xmlns="http://schemas.openxmlformats.org/spreadsheetml/2006/main" count="57" uniqueCount="33">
  <si>
    <t>Comprehensive Model Comparison</t>
  </si>
  <si>
    <t>Univariate</t>
  </si>
  <si>
    <t>Elastic Net</t>
  </si>
  <si>
    <t>Huber Regression</t>
  </si>
  <si>
    <t>SGD Regression</t>
  </si>
  <si>
    <t>LightGBM</t>
  </si>
  <si>
    <t>MLP</t>
  </si>
  <si>
    <t>Multivariate Domain</t>
  </si>
  <si>
    <t>Multivariate</t>
  </si>
  <si>
    <t>Persistence Model</t>
  </si>
  <si>
    <t>Constant 0</t>
  </si>
  <si>
    <t>RMSE_full</t>
  </si>
  <si>
    <t>MAE_full</t>
  </si>
  <si>
    <t>HitRate_full</t>
  </si>
  <si>
    <t>RMSE_pre-GFC</t>
  </si>
  <si>
    <t>MAE_pre-GFC</t>
  </si>
  <si>
    <t>HitRate_pre-GFC</t>
  </si>
  <si>
    <t>RMSE_GFC</t>
  </si>
  <si>
    <t>MAE_GFC</t>
  </si>
  <si>
    <t>HitRate_GFC</t>
  </si>
  <si>
    <t>RMSE_post-GFC/pre-COVID</t>
  </si>
  <si>
    <t>MAE_post-GFC/pre-COVID</t>
  </si>
  <si>
    <t>HitRate_post-GFC/pre-COVID</t>
  </si>
  <si>
    <t>RMSE_COVID</t>
  </si>
  <si>
    <t>MAE_COVID</t>
  </si>
  <si>
    <t>HitRate_COVID</t>
  </si>
  <si>
    <t>RMSE_post-COVID</t>
  </si>
  <si>
    <t>MAE_post-COVID</t>
  </si>
  <si>
    <t>HitRate_post-COVID</t>
  </si>
  <si>
    <t>Time elapsed [s]</t>
  </si>
  <si>
    <t>MASE</t>
  </si>
  <si>
    <t>Naive Benchmarks</t>
  </si>
  <si>
    <t>Expanding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</si>
</sst>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0" fontId="0" fillId="0" borderId="0" xfId="1" applyNumberFormat="1" applyFont="1"/>
    <xf numFmtId="10" fontId="0" fillId="0" borderId="0" xfId="1" applyNumberFormat="1" applyFont="1" applyFill="1"/>
    <xf numFmtId="0" fontId="2" fillId="0" borderId="0" xfId="0" applyFont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topLeftCell="E1" zoomScale="115" zoomScaleNormal="115" workbookViewId="0">
      <selection activeCell="R53" activeCellId="13" sqref="R9 R12 R15 R18 R21 R25 R28 R34 R37 R41 R44 R47 R50 R53"/>
    </sheetView>
  </sheetViews>
  <sheetFormatPr baseColWidth="10" defaultColWidth="9.140625" defaultRowHeight="15" x14ac:dyDescent="0.25"/>
  <cols>
    <col min="2" max="2" width="17.5703125" bestFit="1" customWidth="1"/>
    <col min="3" max="3" width="9.85546875" bestFit="1" customWidth="1"/>
    <col min="4" max="4" width="9" bestFit="1" customWidth="1"/>
    <col min="5" max="5" width="11.5703125" bestFit="1" customWidth="1"/>
    <col min="6" max="6" width="14" bestFit="1" customWidth="1"/>
    <col min="7" max="7" width="13.140625" bestFit="1" customWidth="1"/>
    <col min="8" max="8" width="15.7109375" bestFit="1" customWidth="1"/>
    <col min="9" max="9" width="10.28515625" bestFit="1" customWidth="1"/>
    <col min="10" max="10" width="9.42578125" bestFit="1" customWidth="1"/>
    <col min="11" max="11" width="12" bestFit="1" customWidth="1"/>
    <col min="12" max="12" width="25.42578125" bestFit="1" customWidth="1"/>
    <col min="13" max="13" width="24.5703125" bestFit="1" customWidth="1"/>
    <col min="14" max="14" width="27.28515625" bestFit="1" customWidth="1"/>
    <col min="15" max="15" width="12.5703125" bestFit="1" customWidth="1"/>
    <col min="16" max="16" width="11.7109375" bestFit="1" customWidth="1"/>
    <col min="17" max="17" width="14.28515625" bestFit="1" customWidth="1"/>
    <col min="18" max="18" width="17.28515625" bestFit="1" customWidth="1"/>
    <col min="19" max="19" width="16.42578125" bestFit="1" customWidth="1"/>
    <col min="20" max="20" width="19" bestFit="1" customWidth="1"/>
    <col min="21" max="21" width="15.5703125" bestFit="1" customWidth="1"/>
  </cols>
  <sheetData>
    <row r="1" spans="1:2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21" x14ac:dyDescent="0.25">
      <c r="A2" s="4"/>
      <c r="B2" s="4"/>
      <c r="C2" s="4"/>
      <c r="D2" s="4"/>
      <c r="E2" s="4"/>
      <c r="F2" s="4"/>
      <c r="G2" s="4"/>
      <c r="H2" s="4"/>
    </row>
    <row r="3" spans="1:21" x14ac:dyDescent="0.25">
      <c r="A3" s="4"/>
      <c r="B3" s="4"/>
      <c r="C3" s="4"/>
      <c r="D3" s="4"/>
      <c r="E3" s="4"/>
      <c r="F3" s="4"/>
      <c r="G3" s="4"/>
      <c r="H3" s="4"/>
    </row>
    <row r="4" spans="1:21" x14ac:dyDescent="0.25">
      <c r="A4" s="4"/>
      <c r="B4" s="4"/>
      <c r="C4" s="4"/>
      <c r="D4" s="4"/>
      <c r="E4" s="4"/>
      <c r="F4" s="4"/>
      <c r="G4" s="4"/>
      <c r="H4" s="4"/>
    </row>
    <row r="5" spans="1:21" ht="23.25" x14ac:dyDescent="0.25">
      <c r="A5" s="1"/>
      <c r="B5" s="1"/>
      <c r="C5">
        <v>0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</row>
    <row r="6" spans="1:21" ht="23.25" x14ac:dyDescent="0.25">
      <c r="A6" s="1"/>
      <c r="B6" s="1"/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</row>
    <row r="7" spans="1:21" x14ac:dyDescent="0.25">
      <c r="A7" t="s">
        <v>1</v>
      </c>
    </row>
    <row r="8" spans="1:21" x14ac:dyDescent="0.25">
      <c r="B8" t="s">
        <v>2</v>
      </c>
      <c r="C8">
        <v>9.4873930000000002E-3</v>
      </c>
      <c r="D8">
        <v>5.2603709999999998E-3</v>
      </c>
      <c r="E8">
        <v>0.64974619300000003</v>
      </c>
      <c r="F8">
        <v>6.3839969999999998E-3</v>
      </c>
      <c r="G8">
        <v>4.7140400000000001E-3</v>
      </c>
      <c r="H8">
        <v>0.68096514699999999</v>
      </c>
      <c r="I8">
        <v>1.2845842999999999E-2</v>
      </c>
      <c r="J8">
        <v>8.4258300000000005E-3</v>
      </c>
      <c r="K8">
        <v>0.65217391300000005</v>
      </c>
      <c r="L8">
        <v>4.9662170000000002E-3</v>
      </c>
      <c r="M8">
        <v>3.9824509999999997E-3</v>
      </c>
      <c r="N8">
        <v>0.6171875</v>
      </c>
      <c r="O8">
        <v>2.810636E-2</v>
      </c>
      <c r="P8">
        <v>1.3367283000000001E-2</v>
      </c>
      <c r="Q8">
        <v>0.57894736800000002</v>
      </c>
      <c r="R8">
        <v>5.9407369999999998E-3</v>
      </c>
      <c r="S8">
        <v>4.794413E-3</v>
      </c>
      <c r="T8">
        <v>0.482758621</v>
      </c>
      <c r="U8">
        <v>221.07</v>
      </c>
    </row>
    <row r="9" spans="1:21" x14ac:dyDescent="0.25">
      <c r="A9" t="s">
        <v>30</v>
      </c>
      <c r="C9" s="2"/>
      <c r="D9" s="2">
        <f t="shared" ref="D9:S9" si="0">D8/D$56</f>
        <v>0.78262230108661901</v>
      </c>
      <c r="E9" s="2"/>
      <c r="F9" s="2"/>
      <c r="G9" s="2">
        <f t="shared" si="0"/>
        <v>0.81890782379682781</v>
      </c>
      <c r="H9" s="2"/>
      <c r="I9" s="2"/>
      <c r="J9" s="3">
        <f t="shared" si="0"/>
        <v>0.86156085534695082</v>
      </c>
      <c r="K9" s="2"/>
      <c r="L9" s="2"/>
      <c r="M9" s="2">
        <f t="shared" si="0"/>
        <v>0.78723898239132195</v>
      </c>
      <c r="N9" s="2"/>
      <c r="O9" s="2"/>
      <c r="P9" s="3">
        <f t="shared" si="0"/>
        <v>0.73462669511328005</v>
      </c>
      <c r="Q9" s="2"/>
      <c r="R9" s="2"/>
      <c r="S9" s="2">
        <f t="shared" si="0"/>
        <v>0.5927298415888933</v>
      </c>
      <c r="T9" s="2"/>
    </row>
    <row r="11" spans="1:21" x14ac:dyDescent="0.25">
      <c r="B11" t="s">
        <v>3</v>
      </c>
      <c r="C11">
        <v>9.5153318015537992E-3</v>
      </c>
      <c r="D11">
        <v>5.2454845931559401E-3</v>
      </c>
      <c r="E11">
        <v>0.65143824027072705</v>
      </c>
      <c r="F11">
        <v>6.3715368541164396E-3</v>
      </c>
      <c r="G11">
        <v>4.7045297841847196E-3</v>
      </c>
      <c r="H11">
        <v>0.67828418230563003</v>
      </c>
      <c r="I11">
        <v>1.250520930371E-2</v>
      </c>
      <c r="J11">
        <v>7.8731841500387298E-3</v>
      </c>
      <c r="K11">
        <v>0.82608695652173902</v>
      </c>
      <c r="L11">
        <v>4.9181310589626404E-3</v>
      </c>
      <c r="M11">
        <v>3.9140561035729002E-3</v>
      </c>
      <c r="N11">
        <v>0.609375</v>
      </c>
      <c r="O11">
        <v>2.8379303245218E-2</v>
      </c>
      <c r="P11">
        <v>1.3677248341397E-2</v>
      </c>
      <c r="Q11">
        <v>0.55263157894736803</v>
      </c>
      <c r="R11">
        <v>6.0746106042468204E-3</v>
      </c>
      <c r="S11">
        <v>4.9473769438948302E-3</v>
      </c>
      <c r="T11">
        <v>0.48275862068965503</v>
      </c>
      <c r="U11">
        <v>110.09</v>
      </c>
    </row>
    <row r="12" spans="1:21" x14ac:dyDescent="0.25">
      <c r="A12" t="s">
        <v>30</v>
      </c>
      <c r="C12" s="2"/>
      <c r="D12" s="2">
        <f t="shared" ref="D12" si="1">D11/D$56</f>
        <v>0.78040754589554795</v>
      </c>
      <c r="E12" s="2"/>
      <c r="F12" s="2"/>
      <c r="G12" s="2">
        <f t="shared" ref="G12" si="2">G11/G$56</f>
        <v>0.81725573978033039</v>
      </c>
      <c r="H12" s="2"/>
      <c r="I12" s="2"/>
      <c r="J12" s="3">
        <f t="shared" ref="J12" si="3">J11/J$56</f>
        <v>0.80505152259319535</v>
      </c>
      <c r="K12" s="2"/>
      <c r="L12" s="2"/>
      <c r="M12" s="2">
        <f t="shared" ref="M12" si="4">M11/M$56</f>
        <v>0.77371888417441237</v>
      </c>
      <c r="N12" s="2"/>
      <c r="O12" s="2"/>
      <c r="P12" s="3">
        <f t="shared" ref="P12" si="5">P11/P$56</f>
        <v>0.75166148178983483</v>
      </c>
      <c r="Q12" s="2"/>
      <c r="R12" s="2"/>
      <c r="S12" s="2">
        <f t="shared" ref="S12" si="6">S11/S$56</f>
        <v>0.61164066429724051</v>
      </c>
    </row>
    <row r="14" spans="1:21" x14ac:dyDescent="0.25">
      <c r="B14" t="s">
        <v>4</v>
      </c>
      <c r="C14">
        <v>9.5170828444253504E-3</v>
      </c>
      <c r="D14">
        <v>5.2373021247572298E-3</v>
      </c>
      <c r="E14">
        <v>0.64974619289340096</v>
      </c>
      <c r="F14">
        <v>6.3272982024635003E-3</v>
      </c>
      <c r="G14">
        <v>4.6826833675411E-3</v>
      </c>
      <c r="H14">
        <v>0.67828418230563003</v>
      </c>
      <c r="I14">
        <v>1.26319503875403E-2</v>
      </c>
      <c r="J14">
        <v>8.4475717706158394E-3</v>
      </c>
      <c r="K14">
        <v>0.65217391304347805</v>
      </c>
      <c r="L14">
        <v>5.0703085078442397E-3</v>
      </c>
      <c r="M14">
        <v>4.00682731752138E-3</v>
      </c>
      <c r="N14">
        <v>0.6171875</v>
      </c>
      <c r="O14">
        <v>2.8389685049182399E-2</v>
      </c>
      <c r="P14">
        <v>1.32515728557361E-2</v>
      </c>
      <c r="Q14">
        <v>0.60526315789473595</v>
      </c>
      <c r="R14">
        <v>5.8989533603113001E-3</v>
      </c>
      <c r="S14">
        <v>4.7543739225455496E-3</v>
      </c>
      <c r="T14">
        <v>0.48275862068965503</v>
      </c>
      <c r="U14">
        <v>84.58</v>
      </c>
    </row>
    <row r="15" spans="1:21" x14ac:dyDescent="0.25">
      <c r="A15" t="s">
        <v>30</v>
      </c>
      <c r="C15" s="2"/>
      <c r="D15" s="2">
        <f t="shared" ref="D15" si="7">D14/D$56</f>
        <v>0.77919018266265672</v>
      </c>
      <c r="E15" s="2"/>
      <c r="F15" s="2"/>
      <c r="G15" s="2">
        <f t="shared" ref="G15" si="8">G14/G$56</f>
        <v>0.81346065074600205</v>
      </c>
      <c r="H15" s="2"/>
      <c r="I15" s="2"/>
      <c r="J15" s="3">
        <f t="shared" ref="J15" si="9">J14/J$56</f>
        <v>0.86378400232339581</v>
      </c>
      <c r="K15" s="2"/>
      <c r="L15" s="2"/>
      <c r="M15" s="2">
        <f t="shared" ref="M15" si="10">M14/M$56</f>
        <v>0.79205761980832445</v>
      </c>
      <c r="N15" s="2"/>
      <c r="O15" s="2"/>
      <c r="P15" s="3">
        <f t="shared" ref="P15" si="11">P14/P$56</f>
        <v>0.72826760472283425</v>
      </c>
      <c r="Q15" s="2"/>
      <c r="R15" s="2"/>
      <c r="S15" s="2">
        <f t="shared" ref="S15" si="12">S14/S$56</f>
        <v>0.58777983915127652</v>
      </c>
    </row>
    <row r="17" spans="1:21" x14ac:dyDescent="0.25">
      <c r="B17" t="s">
        <v>5</v>
      </c>
      <c r="C17">
        <v>9.6343409999999994E-3</v>
      </c>
      <c r="D17">
        <v>5.5781299999999997E-3</v>
      </c>
      <c r="E17">
        <v>0.64297800299999996</v>
      </c>
      <c r="F17">
        <v>6.5849400000000001E-3</v>
      </c>
      <c r="G17">
        <v>4.9941339999999999E-3</v>
      </c>
      <c r="H17">
        <v>0.65951742599999996</v>
      </c>
      <c r="I17">
        <v>1.2567261E-2</v>
      </c>
      <c r="J17">
        <v>8.5059360000000004E-3</v>
      </c>
      <c r="K17">
        <v>0.69565217400000001</v>
      </c>
      <c r="L17">
        <v>5.6374060000000002E-3</v>
      </c>
      <c r="M17">
        <v>4.3003420000000004E-3</v>
      </c>
      <c r="N17">
        <v>0.6328125</v>
      </c>
      <c r="O17">
        <v>2.7876451999999999E-2</v>
      </c>
      <c r="P17">
        <v>1.3727245000000001E-2</v>
      </c>
      <c r="Q17">
        <v>0.63157894699999995</v>
      </c>
      <c r="R17">
        <v>7.0784589999999996E-3</v>
      </c>
      <c r="S17">
        <v>5.7292059999999997E-3</v>
      </c>
      <c r="T17">
        <v>0.44827586200000002</v>
      </c>
      <c r="U17">
        <v>135.44</v>
      </c>
    </row>
    <row r="18" spans="1:21" x14ac:dyDescent="0.25">
      <c r="A18" t="s">
        <v>30</v>
      </c>
      <c r="C18" s="2"/>
      <c r="D18" s="2">
        <f t="shared" ref="D18" si="13">D17/D$56</f>
        <v>0.82989753695324942</v>
      </c>
      <c r="E18" s="2"/>
      <c r="F18" s="2"/>
      <c r="G18" s="2">
        <f t="shared" ref="G18" si="14">G17/G$56</f>
        <v>0.86756485004152417</v>
      </c>
      <c r="H18" s="2"/>
      <c r="I18" s="2"/>
      <c r="J18" s="3">
        <f t="shared" ref="J18" si="15">J17/J$56</f>
        <v>0.86975188149848992</v>
      </c>
      <c r="K18" s="2"/>
      <c r="L18" s="2"/>
      <c r="M18" s="2">
        <f t="shared" ref="M18" si="16">M17/M$56</f>
        <v>0.85007872288062369</v>
      </c>
      <c r="N18" s="2"/>
      <c r="O18" s="2"/>
      <c r="P18" s="3">
        <f t="shared" ref="P18" si="17">P17/P$56</f>
        <v>0.75440915160996425</v>
      </c>
      <c r="Q18" s="2"/>
      <c r="R18" s="2"/>
      <c r="S18" s="2">
        <f t="shared" ref="S18" si="18">S17/S$56</f>
        <v>0.70829762993095025</v>
      </c>
    </row>
    <row r="20" spans="1:21" x14ac:dyDescent="0.25">
      <c r="B20" t="s">
        <v>6</v>
      </c>
      <c r="C20">
        <v>9.61203996271018E-3</v>
      </c>
      <c r="D20">
        <v>5.2302937877563797E-3</v>
      </c>
      <c r="E20">
        <v>0.65143824027072705</v>
      </c>
      <c r="F20">
        <v>6.4284904592733904E-3</v>
      </c>
      <c r="G20">
        <v>4.6443175614028203E-3</v>
      </c>
      <c r="H20">
        <v>0.68900804289544204</v>
      </c>
      <c r="I20">
        <v>1.34585280937491E-2</v>
      </c>
      <c r="J20">
        <v>8.3965461266999192E-3</v>
      </c>
      <c r="K20">
        <v>0.73913043478260798</v>
      </c>
      <c r="L20">
        <v>4.9001609404205598E-3</v>
      </c>
      <c r="M20">
        <v>3.9448307853232802E-3</v>
      </c>
      <c r="N20">
        <v>0.6171875</v>
      </c>
      <c r="O20">
        <v>2.8424139184586701E-2</v>
      </c>
      <c r="P20">
        <v>1.32734413726337E-2</v>
      </c>
      <c r="Q20">
        <v>0.52631578947368396</v>
      </c>
      <c r="R20">
        <v>6.5599000504663199E-3</v>
      </c>
      <c r="S20">
        <v>5.3904656746624003E-3</v>
      </c>
      <c r="T20">
        <v>0.41379310344827502</v>
      </c>
      <c r="U20">
        <v>290.14</v>
      </c>
    </row>
    <row r="21" spans="1:21" x14ac:dyDescent="0.25">
      <c r="A21" t="s">
        <v>30</v>
      </c>
      <c r="C21" s="2"/>
      <c r="D21" s="2">
        <f t="shared" ref="D21" si="19">D20/D$56</f>
        <v>0.77814750319567694</v>
      </c>
      <c r="E21" s="2"/>
      <c r="F21" s="2"/>
      <c r="G21" s="2">
        <f t="shared" ref="G21" si="20">G20/G$56</f>
        <v>0.80679586665148662</v>
      </c>
      <c r="H21" s="2"/>
      <c r="I21" s="2"/>
      <c r="J21" s="3">
        <f t="shared" ref="J21" si="21">J20/J$56</f>
        <v>0.85856651070336198</v>
      </c>
      <c r="K21" s="2"/>
      <c r="L21" s="2"/>
      <c r="M21" s="2">
        <f t="shared" ref="M21" si="22">M20/M$56</f>
        <v>0.77980233106292041</v>
      </c>
      <c r="N21" s="2"/>
      <c r="O21" s="2"/>
      <c r="P21" s="3">
        <f t="shared" ref="P21" si="23">P20/P$56</f>
        <v>0.72946943431644073</v>
      </c>
      <c r="Q21" s="2"/>
      <c r="R21" s="2"/>
      <c r="S21" s="2">
        <f t="shared" ref="S21" si="24">S20/S$56</f>
        <v>0.66641940638676966</v>
      </c>
    </row>
    <row r="23" spans="1:21" x14ac:dyDescent="0.25">
      <c r="A23" t="s">
        <v>7</v>
      </c>
    </row>
    <row r="24" spans="1:21" x14ac:dyDescent="0.25">
      <c r="B24" t="s">
        <v>2</v>
      </c>
      <c r="C24">
        <v>9.2935111616094801E-3</v>
      </c>
      <c r="D24">
        <v>5.1881809339819696E-3</v>
      </c>
      <c r="E24">
        <v>0.65313028764805403</v>
      </c>
      <c r="F24">
        <v>6.1345780389795296E-3</v>
      </c>
      <c r="G24">
        <v>4.4954732239341202E-3</v>
      </c>
      <c r="H24">
        <v>0.70241286863270702</v>
      </c>
      <c r="I24">
        <v>1.1980270023492799E-2</v>
      </c>
      <c r="J24">
        <v>7.7560013903156203E-3</v>
      </c>
      <c r="K24">
        <v>0.65217391304347805</v>
      </c>
      <c r="L24">
        <v>5.3888518523838597E-3</v>
      </c>
      <c r="M24">
        <v>4.1838745995480204E-3</v>
      </c>
      <c r="N24">
        <v>0.5625</v>
      </c>
      <c r="O24">
        <v>2.7600902805188E-2</v>
      </c>
      <c r="P24">
        <v>1.40634219927749E-2</v>
      </c>
      <c r="Q24">
        <v>0.63157894736842102</v>
      </c>
      <c r="R24">
        <v>5.9890198694397302E-3</v>
      </c>
      <c r="S24">
        <v>4.8644621727954402E-3</v>
      </c>
      <c r="T24">
        <v>0.44827586206896503</v>
      </c>
      <c r="U24">
        <v>487.98</v>
      </c>
    </row>
    <row r="25" spans="1:21" x14ac:dyDescent="0.25">
      <c r="A25" t="s">
        <v>30</v>
      </c>
      <c r="C25" s="2"/>
      <c r="D25" s="2">
        <f t="shared" ref="D25" si="25">D24/D$56</f>
        <v>0.77188207847064272</v>
      </c>
      <c r="E25" s="2"/>
      <c r="F25" s="2"/>
      <c r="G25" s="2">
        <f t="shared" ref="G25" si="26">G24/G$56</f>
        <v>0.78093910843963987</v>
      </c>
      <c r="H25" s="2"/>
      <c r="I25" s="2"/>
      <c r="J25" s="3">
        <f t="shared" ref="J25" si="27">J24/J$56</f>
        <v>0.79306931090616173</v>
      </c>
      <c r="K25" s="2"/>
      <c r="L25" s="2"/>
      <c r="M25" s="2">
        <f t="shared" ref="M25" si="28">M24/M$56</f>
        <v>0.82705579609167401</v>
      </c>
      <c r="N25" s="2"/>
      <c r="O25" s="2"/>
      <c r="P25" s="3">
        <f t="shared" ref="P25" si="29">P24/P$56</f>
        <v>0.77288445382174098</v>
      </c>
      <c r="Q25" s="2"/>
      <c r="R25" s="2"/>
      <c r="S25" s="2">
        <f t="shared" ref="S25" si="30">S24/S$56</f>
        <v>0.60138997059623467</v>
      </c>
    </row>
    <row r="27" spans="1:21" x14ac:dyDescent="0.25">
      <c r="B27" t="s">
        <v>3</v>
      </c>
      <c r="C27">
        <v>9.2933486564125804E-3</v>
      </c>
      <c r="D27">
        <v>5.3313755659692196E-3</v>
      </c>
      <c r="E27">
        <v>0.63113367174280799</v>
      </c>
      <c r="F27">
        <v>6.3087885421843097E-3</v>
      </c>
      <c r="G27">
        <v>4.7690654455201896E-3</v>
      </c>
      <c r="H27">
        <v>0.68096514745308301</v>
      </c>
      <c r="I27">
        <v>1.0940186990828301E-2</v>
      </c>
      <c r="J27">
        <v>6.8634483406964601E-3</v>
      </c>
      <c r="K27">
        <v>0.78260869565217395</v>
      </c>
      <c r="L27">
        <v>5.3548738214404604E-3</v>
      </c>
      <c r="M27">
        <v>4.19881347837081E-3</v>
      </c>
      <c r="N27">
        <v>0.5</v>
      </c>
      <c r="O27">
        <v>2.7525820823716601E-2</v>
      </c>
      <c r="P27">
        <v>1.41951839373046E-2</v>
      </c>
      <c r="Q27">
        <v>0.57894736842105199</v>
      </c>
      <c r="R27">
        <v>5.8195016994100303E-3</v>
      </c>
      <c r="S27">
        <v>4.7330041939213701E-3</v>
      </c>
      <c r="T27">
        <v>0.51724137931034397</v>
      </c>
      <c r="U27">
        <v>354.15</v>
      </c>
    </row>
    <row r="28" spans="1:21" x14ac:dyDescent="0.25">
      <c r="A28" t="s">
        <v>30</v>
      </c>
      <c r="C28" s="2"/>
      <c r="D28" s="2">
        <f t="shared" ref="D28" si="31">D27/D$56</f>
        <v>0.79318614854271807</v>
      </c>
      <c r="E28" s="2"/>
      <c r="F28" s="2"/>
      <c r="G28" s="2">
        <f t="shared" ref="G28" si="32">G27/G$56</f>
        <v>0.82846666670957125</v>
      </c>
      <c r="H28" s="2"/>
      <c r="I28" s="2"/>
      <c r="J28" s="3">
        <f t="shared" ref="J28" si="33">J27/J$56</f>
        <v>0.70180367074104888</v>
      </c>
      <c r="K28" s="2"/>
      <c r="L28" s="2"/>
      <c r="M28" s="2">
        <f t="shared" ref="M28" si="34">M27/M$56</f>
        <v>0.83000886890098668</v>
      </c>
      <c r="N28" s="2"/>
      <c r="O28" s="2"/>
      <c r="P28" s="3">
        <f t="shared" ref="P28" si="35">P27/P$56</f>
        <v>0.78012570410809712</v>
      </c>
      <c r="Q28" s="2"/>
      <c r="R28" s="2"/>
      <c r="S28" s="2">
        <f t="shared" ref="S28" si="36">S27/S$56</f>
        <v>0.58513791492359579</v>
      </c>
    </row>
    <row r="30" spans="1:21" x14ac:dyDescent="0.25">
      <c r="B30" t="s">
        <v>4</v>
      </c>
    </row>
    <row r="31" spans="1:21" x14ac:dyDescent="0.25">
      <c r="A31" t="s">
        <v>30</v>
      </c>
    </row>
    <row r="33" spans="1:21" x14ac:dyDescent="0.25">
      <c r="B33" t="s">
        <v>5</v>
      </c>
      <c r="C33">
        <v>9.0251670000000006E-3</v>
      </c>
      <c r="D33">
        <v>5.2494309999999997E-3</v>
      </c>
      <c r="E33">
        <v>0.66835871400000002</v>
      </c>
      <c r="F33">
        <v>6.1820909999999998E-3</v>
      </c>
      <c r="G33">
        <v>4.7884420000000004E-3</v>
      </c>
      <c r="H33">
        <v>0.68900804299999996</v>
      </c>
      <c r="I33">
        <v>1.0681716000000001E-2</v>
      </c>
      <c r="J33">
        <v>6.7662820000000002E-3</v>
      </c>
      <c r="K33">
        <v>0.78260869600000005</v>
      </c>
      <c r="L33">
        <v>5.2787470000000003E-3</v>
      </c>
      <c r="M33">
        <v>4.1752819999999998E-3</v>
      </c>
      <c r="N33">
        <v>0.625</v>
      </c>
      <c r="O33">
        <v>2.6518192999999999E-2</v>
      </c>
      <c r="P33">
        <v>1.2876604999999999E-2</v>
      </c>
      <c r="Q33">
        <v>0.71052631600000005</v>
      </c>
      <c r="R33">
        <v>5.7850219999999999E-3</v>
      </c>
      <c r="S33">
        <v>4.722515E-3</v>
      </c>
      <c r="T33">
        <v>0.44827586200000002</v>
      </c>
      <c r="U33">
        <v>143.62</v>
      </c>
    </row>
    <row r="34" spans="1:21" x14ac:dyDescent="0.25">
      <c r="A34" t="s">
        <v>30</v>
      </c>
      <c r="C34" s="2"/>
      <c r="D34" s="2">
        <f t="shared" ref="D34" si="37">D33/D$56</f>
        <v>0.78099468053021948</v>
      </c>
      <c r="E34" s="2"/>
      <c r="F34" s="2"/>
      <c r="G34" s="2">
        <f t="shared" ref="G34" si="38">G33/G$56</f>
        <v>0.83183269925527359</v>
      </c>
      <c r="H34" s="2"/>
      <c r="I34" s="2"/>
      <c r="J34" s="3">
        <f t="shared" ref="J34" si="39">J33/J$56</f>
        <v>0.69186818478875989</v>
      </c>
      <c r="K34" s="2"/>
      <c r="L34" s="2"/>
      <c r="M34" s="2">
        <f t="shared" ref="M34" si="40">M33/M$56</f>
        <v>0.82535723675615935</v>
      </c>
      <c r="N34" s="2"/>
      <c r="O34" s="2"/>
      <c r="P34" s="3">
        <f t="shared" ref="P34" si="41">P33/P$56</f>
        <v>0.7076604703760021</v>
      </c>
      <c r="Q34" s="2"/>
      <c r="R34" s="2"/>
      <c r="S34" s="2">
        <f t="shared" ref="S34" si="42">S33/S$56</f>
        <v>0.58384114339986415</v>
      </c>
    </row>
    <row r="36" spans="1:21" x14ac:dyDescent="0.25">
      <c r="B36" t="s">
        <v>6</v>
      </c>
      <c r="C36">
        <v>9.5902111340058997E-3</v>
      </c>
      <c r="D36">
        <v>5.4882913781416302E-3</v>
      </c>
      <c r="E36">
        <v>0.63620981387478803</v>
      </c>
      <c r="F36">
        <v>6.7653262581599E-3</v>
      </c>
      <c r="G36">
        <v>4.9178793188249404E-3</v>
      </c>
      <c r="H36">
        <v>0.69168900804289501</v>
      </c>
      <c r="I36">
        <v>1.1596390780146E-2</v>
      </c>
      <c r="J36">
        <v>7.5042918122706602E-3</v>
      </c>
      <c r="K36">
        <v>0.60869565217391297</v>
      </c>
      <c r="L36">
        <v>5.6722689936507097E-3</v>
      </c>
      <c r="M36">
        <v>4.4633338793007502E-3</v>
      </c>
      <c r="N36">
        <v>0.5234375</v>
      </c>
      <c r="O36">
        <v>2.7656913701225701E-2</v>
      </c>
      <c r="P36">
        <v>1.38489550403312E-2</v>
      </c>
      <c r="Q36">
        <v>0.63157894736842102</v>
      </c>
      <c r="R36">
        <v>5.8891246506136002E-3</v>
      </c>
      <c r="S36">
        <v>4.7946716825755901E-3</v>
      </c>
      <c r="T36">
        <v>0.44827586206896503</v>
      </c>
      <c r="U36">
        <v>211.76</v>
      </c>
    </row>
    <row r="37" spans="1:21" x14ac:dyDescent="0.25">
      <c r="A37" t="s">
        <v>30</v>
      </c>
      <c r="C37" s="2"/>
      <c r="D37" s="2">
        <f t="shared" ref="D37" si="43">D36/D$56</f>
        <v>0.81653161486044501</v>
      </c>
      <c r="E37" s="2"/>
      <c r="F37" s="2"/>
      <c r="G37" s="2">
        <f t="shared" ref="F37:G37" si="44">G36/G$56</f>
        <v>0.85431813278511803</v>
      </c>
      <c r="H37" s="2"/>
      <c r="I37" s="2"/>
      <c r="J37" s="3">
        <f t="shared" ref="I37:J37" si="45">J36/J$56</f>
        <v>0.76733141691121576</v>
      </c>
      <c r="K37" s="2"/>
      <c r="L37" s="2"/>
      <c r="M37" s="2">
        <f t="shared" ref="L37:M37" si="46">M36/M$56</f>
        <v>0.882298469262631</v>
      </c>
      <c r="N37" s="2"/>
      <c r="O37" s="2"/>
      <c r="P37" s="3">
        <f t="shared" ref="O37:P37" si="47">P36/P$56</f>
        <v>0.76109797870299534</v>
      </c>
      <c r="Q37" s="2"/>
      <c r="R37" s="2"/>
      <c r="S37" s="2">
        <f t="shared" ref="R37:S37" si="48">S36/S$56</f>
        <v>0.59276182233023778</v>
      </c>
    </row>
    <row r="39" spans="1:21" x14ac:dyDescent="0.25">
      <c r="A39" t="s">
        <v>8</v>
      </c>
    </row>
    <row r="40" spans="1:21" x14ac:dyDescent="0.25">
      <c r="B40" t="s">
        <v>2</v>
      </c>
      <c r="C40">
        <v>9.4364659999999993E-3</v>
      </c>
      <c r="D40">
        <v>5.2476679999999996E-3</v>
      </c>
      <c r="E40">
        <v>0.65482233499999998</v>
      </c>
      <c r="F40">
        <v>6.0584879999999999E-3</v>
      </c>
      <c r="G40">
        <v>4.5323619999999998E-3</v>
      </c>
      <c r="H40">
        <v>0.70509383400000003</v>
      </c>
      <c r="I40">
        <v>1.2465027E-2</v>
      </c>
      <c r="J40">
        <v>7.9584789999999992E-3</v>
      </c>
      <c r="K40">
        <v>0.65217391300000005</v>
      </c>
      <c r="L40">
        <v>5.3365549999999998E-3</v>
      </c>
      <c r="M40">
        <v>4.2859949999999999E-3</v>
      </c>
      <c r="N40">
        <v>0.5703125</v>
      </c>
      <c r="O40">
        <v>2.8412064000000001E-2</v>
      </c>
      <c r="P40">
        <v>1.4144771E-2</v>
      </c>
      <c r="Q40">
        <v>0.63157894699999995</v>
      </c>
      <c r="R40">
        <v>5.99242E-3</v>
      </c>
      <c r="S40">
        <v>4.8843910000000001E-3</v>
      </c>
      <c r="T40">
        <v>0.413793103</v>
      </c>
      <c r="U40">
        <v>953.53</v>
      </c>
    </row>
    <row r="41" spans="1:21" x14ac:dyDescent="0.25">
      <c r="A41" t="s">
        <v>30</v>
      </c>
      <c r="C41" s="2"/>
      <c r="D41" s="2">
        <f t="shared" ref="D41" si="49">D40/D$56</f>
        <v>0.78073238665079236</v>
      </c>
      <c r="E41" s="2"/>
      <c r="F41" s="2"/>
      <c r="G41" s="2">
        <f t="shared" ref="G41" si="50">G40/G$56</f>
        <v>0.78734730763409688</v>
      </c>
      <c r="H41" s="2"/>
      <c r="I41" s="2"/>
      <c r="J41" s="3">
        <f t="shared" ref="J41" si="51">J40/J$56</f>
        <v>0.81377312080836484</v>
      </c>
      <c r="K41" s="2"/>
      <c r="L41" s="2"/>
      <c r="M41" s="2">
        <f t="shared" ref="M41" si="52">M40/M$56</f>
        <v>0.84724265090375095</v>
      </c>
      <c r="N41" s="2"/>
      <c r="O41" s="2"/>
      <c r="P41" s="3">
        <f t="shared" ref="P41" si="53">P40/P$56</f>
        <v>0.7773551568306114</v>
      </c>
      <c r="Q41" s="2"/>
      <c r="R41" s="2"/>
      <c r="S41" s="2">
        <f t="shared" ref="S41" si="54">S40/S$56</f>
        <v>0.60385375721453627</v>
      </c>
    </row>
    <row r="43" spans="1:21" x14ac:dyDescent="0.25">
      <c r="B43" t="s">
        <v>3</v>
      </c>
      <c r="C43">
        <v>9.4943379999999997E-3</v>
      </c>
      <c r="D43">
        <v>5.5937039999999997E-3</v>
      </c>
      <c r="E43">
        <v>0.648054146</v>
      </c>
      <c r="F43">
        <v>7.1355200000000002E-3</v>
      </c>
      <c r="G43">
        <v>5.2061030000000001E-3</v>
      </c>
      <c r="H43">
        <v>0.66756032200000004</v>
      </c>
      <c r="I43">
        <v>1.2164762000000001E-2</v>
      </c>
      <c r="J43">
        <v>7.5038570000000001E-3</v>
      </c>
      <c r="K43">
        <v>0.78260869600000005</v>
      </c>
      <c r="L43">
        <v>5.5756119999999998E-3</v>
      </c>
      <c r="M43">
        <v>4.3427129999999998E-3</v>
      </c>
      <c r="N43">
        <v>0.59375</v>
      </c>
      <c r="O43">
        <v>2.6152607000000001E-2</v>
      </c>
      <c r="P43">
        <v>1.3237245E-2</v>
      </c>
      <c r="Q43">
        <v>0.65789473700000001</v>
      </c>
      <c r="R43">
        <v>5.6000169999999997E-3</v>
      </c>
      <c r="S43">
        <v>4.5700489999999996E-3</v>
      </c>
      <c r="T43">
        <v>0.517241379</v>
      </c>
      <c r="U43">
        <v>739.29</v>
      </c>
    </row>
    <row r="44" spans="1:21" x14ac:dyDescent="0.25">
      <c r="A44" t="s">
        <v>30</v>
      </c>
      <c r="C44" s="2"/>
      <c r="D44" s="2">
        <f t="shared" ref="D44" si="55">D43/D$56</f>
        <v>0.83221459020236876</v>
      </c>
      <c r="E44" s="2"/>
      <c r="F44" s="2"/>
      <c r="G44" s="2">
        <f t="shared" ref="G44" si="56">G43/G$56</f>
        <v>0.90438742102148828</v>
      </c>
      <c r="H44" s="2"/>
      <c r="I44" s="2"/>
      <c r="J44" s="3">
        <f t="shared" ref="J44" si="57">J43/J$56</f>
        <v>0.7672869563379755</v>
      </c>
      <c r="K44" s="2"/>
      <c r="L44" s="2"/>
      <c r="M44" s="2">
        <f t="shared" ref="M44" si="58">M43/M$56</f>
        <v>0.85845449521853878</v>
      </c>
      <c r="N44" s="2"/>
      <c r="O44" s="2"/>
      <c r="P44" s="3">
        <f t="shared" ref="P44" si="59">P43/P$56</f>
        <v>0.72748018776551604</v>
      </c>
      <c r="Q44" s="2"/>
      <c r="R44" s="2"/>
      <c r="S44" s="2">
        <f t="shared" ref="S44" si="60">S43/S$56</f>
        <v>0.5649918811382082</v>
      </c>
    </row>
    <row r="46" spans="1:21" x14ac:dyDescent="0.25">
      <c r="B46" t="s">
        <v>4</v>
      </c>
      <c r="C46">
        <v>9.5004302774092109E-3</v>
      </c>
      <c r="D46">
        <v>5.2145657602672103E-3</v>
      </c>
      <c r="E46">
        <v>0.66666666666666596</v>
      </c>
      <c r="F46">
        <v>6.0317456773534102E-3</v>
      </c>
      <c r="G46">
        <v>4.4756630916497602E-3</v>
      </c>
      <c r="H46">
        <v>0.71045576407506705</v>
      </c>
      <c r="I46">
        <v>1.2407662513417E-2</v>
      </c>
      <c r="J46">
        <v>7.9577523372143105E-3</v>
      </c>
      <c r="K46">
        <v>0.65217391304347805</v>
      </c>
      <c r="L46">
        <v>5.3823082523320898E-3</v>
      </c>
      <c r="M46">
        <v>4.2152828466477501E-3</v>
      </c>
      <c r="N46">
        <v>0.59375</v>
      </c>
      <c r="O46">
        <v>2.8786895515627499E-2</v>
      </c>
      <c r="P46">
        <v>1.4462622527038199E-2</v>
      </c>
      <c r="Q46">
        <v>0.63157894736842102</v>
      </c>
      <c r="R46">
        <v>5.9687510031408899E-3</v>
      </c>
      <c r="S46">
        <v>4.8352367923540501E-3</v>
      </c>
      <c r="T46">
        <v>0.48275862068965503</v>
      </c>
      <c r="U46">
        <v>210.51</v>
      </c>
    </row>
    <row r="47" spans="1:21" x14ac:dyDescent="0.25">
      <c r="A47" t="s">
        <v>30</v>
      </c>
      <c r="C47" s="2"/>
      <c r="D47" s="2">
        <f t="shared" ref="D47" si="61">D46/D$56</f>
        <v>0.77580753419631787</v>
      </c>
      <c r="E47" s="2"/>
      <c r="F47" s="2"/>
      <c r="G47" s="2">
        <f t="shared" ref="F47:G47" si="62">G46/G$56</f>
        <v>0.7774977561562243</v>
      </c>
      <c r="H47" s="2"/>
      <c r="I47" s="2"/>
      <c r="J47" s="3">
        <f t="shared" ref="I47:J47" si="63">J46/J$56</f>
        <v>0.81369881783629128</v>
      </c>
      <c r="K47" s="2"/>
      <c r="L47" s="2"/>
      <c r="M47" s="2">
        <f t="shared" ref="L47:M47" si="64">M46/M$56</f>
        <v>0.8332644842803012</v>
      </c>
      <c r="N47" s="2"/>
      <c r="O47" s="2"/>
      <c r="P47" s="3">
        <f t="shared" ref="O47:P47" si="65">P46/P$56</f>
        <v>0.79482334515615083</v>
      </c>
      <c r="Q47" s="2"/>
      <c r="R47" s="2"/>
      <c r="S47" s="2">
        <f t="shared" ref="R47:S47" si="66">S46/S$56</f>
        <v>0.59777685776690592</v>
      </c>
    </row>
    <row r="49" spans="1:21" x14ac:dyDescent="0.25">
      <c r="B49" t="s">
        <v>5</v>
      </c>
      <c r="C49">
        <v>9.1199375475342608E-3</v>
      </c>
      <c r="D49">
        <v>5.2304071873669504E-3</v>
      </c>
      <c r="E49">
        <v>0.66666666666666596</v>
      </c>
      <c r="F49">
        <v>5.9556232480874197E-3</v>
      </c>
      <c r="G49">
        <v>4.5245315027264803E-3</v>
      </c>
      <c r="H49">
        <v>0.69436997319034799</v>
      </c>
      <c r="I49">
        <v>1.16345619901667E-2</v>
      </c>
      <c r="J49">
        <v>7.9474637225031303E-3</v>
      </c>
      <c r="K49">
        <v>0.82608695652173902</v>
      </c>
      <c r="L49">
        <v>5.7922462315055604E-3</v>
      </c>
      <c r="M49">
        <v>4.4098089835693903E-3</v>
      </c>
      <c r="N49">
        <v>0.625</v>
      </c>
      <c r="O49">
        <v>2.6817209788838201E-2</v>
      </c>
      <c r="P49">
        <v>1.34701721348272E-2</v>
      </c>
      <c r="Q49">
        <v>0.63157894736842102</v>
      </c>
      <c r="R49">
        <v>6.4040508839845901E-3</v>
      </c>
      <c r="S49">
        <v>4.97953933031054E-3</v>
      </c>
      <c r="T49">
        <v>0.41379310344827502</v>
      </c>
      <c r="U49">
        <v>274.16000000000003</v>
      </c>
    </row>
    <row r="50" spans="1:21" x14ac:dyDescent="0.25">
      <c r="A50" t="s">
        <v>30</v>
      </c>
      <c r="C50" s="2"/>
      <c r="D50" s="2">
        <f t="shared" ref="D50" si="67">D49/D$56</f>
        <v>0.77816437445136732</v>
      </c>
      <c r="E50" s="2"/>
      <c r="F50" s="2"/>
      <c r="G50" s="2">
        <f t="shared" ref="G50" si="68">G49/G$56</f>
        <v>0.78598701890478928</v>
      </c>
      <c r="H50" s="2"/>
      <c r="I50" s="2"/>
      <c r="J50" s="3">
        <f t="shared" ref="J50" si="69">J49/J$56</f>
        <v>0.81264678288057768</v>
      </c>
      <c r="K50" s="2"/>
      <c r="L50" s="2"/>
      <c r="M50" s="2">
        <f t="shared" ref="M50" si="70">M49/M$56</f>
        <v>0.8717178282332354</v>
      </c>
      <c r="N50" s="2"/>
      <c r="O50" s="2"/>
      <c r="P50" s="3">
        <f t="shared" ref="P50" si="71">P49/P$56</f>
        <v>0.74028118040256219</v>
      </c>
      <c r="Q50" s="2"/>
      <c r="R50" s="2"/>
      <c r="S50" s="2">
        <f t="shared" ref="S50" si="72">S49/S$56</f>
        <v>0.61561687706933688</v>
      </c>
    </row>
    <row r="52" spans="1:21" x14ac:dyDescent="0.25">
      <c r="B52" t="s">
        <v>6</v>
      </c>
      <c r="C52">
        <v>9.4481500000000006E-3</v>
      </c>
      <c r="D52">
        <v>5.5280870000000001E-3</v>
      </c>
      <c r="E52">
        <v>0.627749577</v>
      </c>
      <c r="F52">
        <v>6.333076E-3</v>
      </c>
      <c r="G52">
        <v>4.7980870000000004E-3</v>
      </c>
      <c r="H52">
        <v>0.672922252</v>
      </c>
      <c r="I52">
        <v>1.3575220000000001E-2</v>
      </c>
      <c r="J52">
        <v>9.3898249999999992E-3</v>
      </c>
      <c r="K52">
        <v>0.52173913000000005</v>
      </c>
      <c r="L52">
        <v>5.3339889999999999E-3</v>
      </c>
      <c r="M52">
        <v>4.3898230000000002E-3</v>
      </c>
      <c r="N52">
        <v>0.578125</v>
      </c>
      <c r="O52">
        <v>2.7551256999999999E-2</v>
      </c>
      <c r="P52">
        <v>1.4698976000000001E-2</v>
      </c>
      <c r="Q52">
        <v>0.52631578899999998</v>
      </c>
      <c r="R52">
        <v>6.0793059999999996E-3</v>
      </c>
      <c r="S52">
        <v>4.861677E-3</v>
      </c>
      <c r="T52">
        <v>0.482758621</v>
      </c>
      <c r="U52">
        <v>309.82</v>
      </c>
    </row>
    <row r="53" spans="1:21" x14ac:dyDescent="0.25">
      <c r="A53" t="s">
        <v>30</v>
      </c>
      <c r="C53" s="2"/>
      <c r="D53" s="2">
        <f t="shared" ref="D53" si="73">D52/D$56</f>
        <v>0.82245228873534293</v>
      </c>
      <c r="E53" s="2"/>
      <c r="F53" s="2"/>
      <c r="G53" s="2">
        <f t="shared" ref="F53:G53" si="74">G52/G$56</f>
        <v>0.83350819754559791</v>
      </c>
      <c r="H53" s="2"/>
      <c r="I53" s="2"/>
      <c r="J53" s="3">
        <f t="shared" ref="I53:J53" si="75">J52/J$56</f>
        <v>0.9601316022941575</v>
      </c>
      <c r="K53" s="2"/>
      <c r="L53" s="2"/>
      <c r="M53" s="2">
        <f t="shared" ref="L53:M53" si="76">M52/M$56</f>
        <v>0.86776705887857009</v>
      </c>
      <c r="N53" s="2"/>
      <c r="O53" s="2"/>
      <c r="P53" s="3">
        <f t="shared" ref="O53:P53" si="77">P52/P$56</f>
        <v>0.80781263929471836</v>
      </c>
      <c r="Q53" s="2"/>
      <c r="R53" s="2"/>
      <c r="S53" s="2">
        <f t="shared" ref="R53:S53" si="78">S52/S$56</f>
        <v>0.60104564168050734</v>
      </c>
    </row>
    <row r="55" spans="1:21" x14ac:dyDescent="0.25">
      <c r="A55" t="s">
        <v>31</v>
      </c>
    </row>
    <row r="56" spans="1:21" x14ac:dyDescent="0.25">
      <c r="B56" t="s">
        <v>9</v>
      </c>
      <c r="C56">
        <v>1.20477978886627E-2</v>
      </c>
      <c r="D56">
        <v>6.7214683158099697E-3</v>
      </c>
      <c r="E56">
        <v>0.60338983050847395</v>
      </c>
      <c r="F56">
        <v>7.8873889471791601E-3</v>
      </c>
      <c r="G56">
        <v>5.7564964737344603E-3</v>
      </c>
      <c r="H56">
        <v>0.63806970509383298</v>
      </c>
      <c r="I56">
        <v>1.5505427587173401E-2</v>
      </c>
      <c r="J56">
        <v>9.7797270473795102E-3</v>
      </c>
      <c r="K56">
        <v>0.73913043478260798</v>
      </c>
      <c r="L56">
        <v>6.5404128311130896E-3</v>
      </c>
      <c r="M56">
        <v>5.0587573647622001E-3</v>
      </c>
      <c r="N56">
        <v>0.5546875</v>
      </c>
      <c r="O56">
        <v>3.5854123201101401E-2</v>
      </c>
      <c r="P56">
        <v>1.81960213111215E-2</v>
      </c>
      <c r="Q56">
        <v>0.63157894736842102</v>
      </c>
      <c r="R56">
        <v>9.4750883369810295E-3</v>
      </c>
      <c r="S56">
        <v>8.0886985327884298E-3</v>
      </c>
      <c r="T56">
        <v>0.24137931034482701</v>
      </c>
    </row>
    <row r="59" spans="1:21" x14ac:dyDescent="0.25">
      <c r="B59" t="s">
        <v>10</v>
      </c>
      <c r="C59">
        <v>9.7586045392075906E-3</v>
      </c>
      <c r="D59">
        <v>5.6705209626985E-3</v>
      </c>
      <c r="E59">
        <v>0</v>
      </c>
      <c r="F59">
        <v>6.7426649680849202E-3</v>
      </c>
      <c r="G59">
        <v>5.2486934455759499E-3</v>
      </c>
      <c r="H59">
        <v>0</v>
      </c>
      <c r="I59">
        <v>1.42216435872829E-2</v>
      </c>
      <c r="J59">
        <v>9.6286645599589406E-3</v>
      </c>
      <c r="K59">
        <v>0</v>
      </c>
      <c r="L59">
        <v>5.0880085111390302E-3</v>
      </c>
      <c r="M59">
        <v>4.1295166663133202E-3</v>
      </c>
      <c r="N59">
        <v>0</v>
      </c>
      <c r="O59">
        <v>2.8277546127060502E-2</v>
      </c>
      <c r="P59">
        <v>1.3457583622320199E-2</v>
      </c>
      <c r="Q59">
        <v>0</v>
      </c>
      <c r="R59">
        <v>5.7899770745154901E-3</v>
      </c>
      <c r="S59">
        <v>4.5548151013672803E-3</v>
      </c>
      <c r="T59">
        <v>0</v>
      </c>
    </row>
    <row r="62" spans="1:21" x14ac:dyDescent="0.25">
      <c r="B62" t="s">
        <v>32</v>
      </c>
      <c r="C62">
        <v>9.6957846052395102E-3</v>
      </c>
      <c r="D62">
        <v>5.4181147826463704E-3</v>
      </c>
      <c r="E62">
        <v>0.63389830508474498</v>
      </c>
      <c r="F62">
        <v>6.4270794190575903E-3</v>
      </c>
      <c r="G62">
        <v>4.8460133888095103E-3</v>
      </c>
      <c r="H62">
        <v>0.66935483870967705</v>
      </c>
      <c r="I62">
        <v>1.54109942243781E-2</v>
      </c>
      <c r="J62">
        <v>1.0923852723518999E-2</v>
      </c>
      <c r="K62">
        <v>0.217391304347826</v>
      </c>
      <c r="L62">
        <v>4.90217234472194E-3</v>
      </c>
      <c r="M62">
        <v>3.9437541279400204E-3</v>
      </c>
      <c r="N62">
        <v>0.6328125</v>
      </c>
      <c r="O62">
        <v>2.8347942662580401E-2</v>
      </c>
      <c r="P62">
        <v>1.3142344030673801E-2</v>
      </c>
      <c r="Q62">
        <v>0.65789473684210498</v>
      </c>
      <c r="R62">
        <v>5.9394293949233097E-3</v>
      </c>
      <c r="S62">
        <v>4.7762940324604904E-3</v>
      </c>
      <c r="T62">
        <v>0.48275862068965503</v>
      </c>
    </row>
  </sheetData>
  <mergeCells count="1">
    <mergeCell ref="A1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Performance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 Schicho</dc:creator>
  <cp:lastModifiedBy>Schicho, Kilian</cp:lastModifiedBy>
  <dcterms:created xsi:type="dcterms:W3CDTF">2015-06-05T18:19:34Z</dcterms:created>
  <dcterms:modified xsi:type="dcterms:W3CDTF">2026-03-12T22:05:44Z</dcterms:modified>
</cp:coreProperties>
</file>